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entario_Lotes" sheetId="1" r:id="rId5"/>
    <sheet state="visible" name="Caja_Diaria" sheetId="2" r:id="rId6"/>
    <sheet state="visible" name="Panel_Papa" sheetId="3" r:id="rId7"/>
    <sheet state="visible" name="Maestro_Productos" sheetId="4" r:id="rId8"/>
  </sheets>
  <definedNames/>
  <calcPr/>
</workbook>
</file>

<file path=xl/sharedStrings.xml><?xml version="1.0" encoding="utf-8"?>
<sst xmlns="http://schemas.openxmlformats.org/spreadsheetml/2006/main" count="29" uniqueCount="28">
  <si>
    <t>Código de Barras</t>
  </si>
  <si>
    <t>Producto</t>
  </si>
  <si>
    <t>Cantidad</t>
  </si>
  <si>
    <t>Fecha Vencimiento</t>
  </si>
  <si>
    <t>Fecha Elaboración</t>
  </si>
  <si>
    <t>Meses Duración</t>
  </si>
  <si>
    <t>Vencimiento Final</t>
  </si>
  <si>
    <t>Costo Neto Unitario</t>
  </si>
  <si>
    <t>IVA Crédito (19%)</t>
  </si>
  <si>
    <t>Total Factura Lote</t>
  </si>
  <si>
    <t>Estado</t>
  </si>
  <si>
    <t>Link de la Imagen</t>
  </si>
  <si>
    <t>De Todito 64g</t>
  </si>
  <si>
    <t>Activo</t>
  </si>
  <si>
    <t>https://i5.walmartimages.cl/asr/108a50f0-66b5-4d63-8140-f4eb75a675e8.1ed9ef9c046892cebff813f24483ea0f.jpeg?odnHeight=612&amp;odnWidth=612&amp;odnBg=FFFFFF</t>
  </si>
  <si>
    <t>Fecha</t>
  </si>
  <si>
    <t>Venta con Boleta</t>
  </si>
  <si>
    <t>Venta sin Boleta</t>
  </si>
  <si>
    <t>Consumo Propio</t>
  </si>
  <si>
    <t>Total Día</t>
  </si>
  <si>
    <t>MES ACTUAL</t>
  </si>
  <si>
    <t>INVERSIÓN TOTAL (Facturas + IVA)</t>
  </si>
  <si>
    <t>META DE VENTA (1.2x)</t>
  </si>
  <si>
    <t>VENTA REAL ACUMULADA</t>
  </si>
  <si>
    <t>DIFERENCIA / UTILIDAD</t>
  </si>
  <si>
    <t>Nombre del Producto</t>
  </si>
  <si>
    <t>Categoría</t>
  </si>
  <si>
    <t>Meses Duración Estándar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</si>
</sst>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4" xfId="0" applyFont="1" applyNumberFormat="1"/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i5.walmartimages.cl/asr/108a50f0-66b5-4d63-8140-f4eb75a675e8.1ed9ef9c046892cebff813f24483ea0f.jpeg?odnHeight=612&amp;odnWidth=612&amp;odnBg=FFFFFF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5.38"/>
    <col customWidth="1" min="4" max="4" width="17.5"/>
    <col customWidth="1" min="5" max="5" width="17.25"/>
    <col customWidth="1" min="6" max="6" width="16.0"/>
    <col customWidth="1" min="7" max="7" width="14.13"/>
    <col customWidth="1" min="8" max="8" width="15.5"/>
    <col customWidth="1" min="9" max="9" width="14.25"/>
    <col customWidth="1" min="10" max="10" width="14.38"/>
    <col customWidth="1" min="12" max="12" width="33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G2" s="2">
        <f>IF(D2&lt;&gt;"", D2, EDATE(E2, F2))</f>
        <v>0</v>
      </c>
      <c r="K2" s="3">
        <f>G2-TODAY()</f>
        <v>-46145</v>
      </c>
    </row>
    <row r="3">
      <c r="B3" s="1" t="s">
        <v>12</v>
      </c>
      <c r="C3" s="4">
        <v>1.0</v>
      </c>
      <c r="D3" s="5">
        <v>46181.0</v>
      </c>
      <c r="F3" s="4">
        <v>0.0</v>
      </c>
      <c r="G3" s="5">
        <v>46181.0</v>
      </c>
      <c r="H3" s="4">
        <v>1261.0</v>
      </c>
      <c r="I3" s="4">
        <v>239.0</v>
      </c>
      <c r="J3" s="4">
        <v>1500.0</v>
      </c>
      <c r="K3" s="1" t="s">
        <v>13</v>
      </c>
      <c r="L3" s="6" t="s">
        <v>14</v>
      </c>
    </row>
  </sheetData>
  <hyperlinks>
    <hyperlink r:id="rId1" ref="L3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13.63"/>
    <col customWidth="1" min="3" max="3" width="13.0"/>
    <col customWidth="1" min="4" max="4" width="13.38"/>
  </cols>
  <sheetData>
    <row r="1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>
      <c r="E2" s="3">
        <f>SUM(B2:D2)</f>
        <v>0</v>
      </c>
    </row>
    <row r="3">
      <c r="A3" s="5">
        <v>46143.0</v>
      </c>
      <c r="B3" s="4">
        <v>15600.0</v>
      </c>
      <c r="C3" s="4">
        <v>0.0</v>
      </c>
      <c r="D3" s="4">
        <v>0.0</v>
      </c>
      <c r="E3" s="4">
        <v>15600.0</v>
      </c>
    </row>
    <row r="4">
      <c r="A4" s="5">
        <v>46143.0</v>
      </c>
      <c r="B4" s="4">
        <v>0.0</v>
      </c>
      <c r="C4" s="4">
        <v>3000.0</v>
      </c>
      <c r="D4" s="4">
        <v>0.0</v>
      </c>
      <c r="E4" s="4">
        <v>3000.0</v>
      </c>
    </row>
    <row r="5">
      <c r="A5" s="5">
        <v>46143.0</v>
      </c>
      <c r="B5" s="4">
        <v>0.0</v>
      </c>
      <c r="C5" s="4">
        <v>0.0</v>
      </c>
      <c r="D5" s="4">
        <v>1900.0</v>
      </c>
      <c r="E5" s="4">
        <v>1900.0</v>
      </c>
    </row>
    <row r="6">
      <c r="A6" s="5">
        <v>46144.0</v>
      </c>
      <c r="B6" s="4">
        <v>20800.0</v>
      </c>
      <c r="C6" s="4">
        <v>0.0</v>
      </c>
      <c r="D6" s="4">
        <v>0.0</v>
      </c>
      <c r="E6" s="4">
        <v>20800.0</v>
      </c>
    </row>
    <row r="7">
      <c r="A7" s="5">
        <v>46144.0</v>
      </c>
      <c r="B7" s="4">
        <v>0.0</v>
      </c>
      <c r="C7" s="4">
        <v>2500.0</v>
      </c>
      <c r="D7" s="4">
        <v>0.0</v>
      </c>
      <c r="E7" s="4">
        <v>2500.0</v>
      </c>
    </row>
    <row r="8">
      <c r="A8" s="5">
        <v>46144.0</v>
      </c>
      <c r="B8" s="4">
        <v>0.0</v>
      </c>
      <c r="C8" s="4">
        <v>0.0</v>
      </c>
      <c r="D8" s="4">
        <v>2000.0</v>
      </c>
      <c r="E8" s="4">
        <v>2000.0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28.38"/>
    <col customWidth="1" min="3" max="3" width="18.88"/>
    <col customWidth="1" min="4" max="4" width="22.13"/>
    <col customWidth="1" min="5" max="5" width="20.13"/>
  </cols>
  <sheetData>
    <row r="1">
      <c r="A1" s="1" t="s">
        <v>20</v>
      </c>
      <c r="B1" s="1" t="s">
        <v>21</v>
      </c>
      <c r="C1" s="1" t="s">
        <v>22</v>
      </c>
      <c r="D1" s="1" t="s">
        <v>23</v>
      </c>
      <c r="E1" s="1" t="s">
        <v>24</v>
      </c>
    </row>
    <row r="2">
      <c r="B2" s="3">
        <f>SUM(Inventario_Lotes!J:J)</f>
        <v>1500</v>
      </c>
      <c r="C2" s="3">
        <f>SUMIF(Inventario_Lotes!J2:J1000, "&gt;0")</f>
        <v>1500</v>
      </c>
      <c r="D2" s="3">
        <f>SUM(Caja_Diaria!E:E)</f>
        <v>45800</v>
      </c>
      <c r="E2" s="3">
        <f>C4 - C3</f>
        <v>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4.0"/>
    <col customWidth="1" min="2" max="2" width="18.75"/>
    <col customWidth="1" min="4" max="4" width="20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</row>
  </sheetData>
  <drawing r:id="rId1"/>
</worksheet>
</file>